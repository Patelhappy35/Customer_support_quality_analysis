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tel Happy\OneDrive\Documents\set B\EXCEL\"/>
    </mc:Choice>
  </mc:AlternateContent>
  <xr:revisionPtr revIDLastSave="0" documentId="13_ncr:1_{5E606152-4864-46B3-BB2D-6E39074DD3A3}" xr6:coauthVersionLast="47" xr6:coauthVersionMax="47" xr10:uidLastSave="{00000000-0000-0000-0000-000000000000}"/>
  <bookViews>
    <workbookView xWindow="-108" yWindow="-108" windowWidth="23256" windowHeight="12456" activeTab="2" xr2:uid="{876C341C-BFAF-4616-9A9A-DEA708BA6816}"/>
  </bookViews>
  <sheets>
    <sheet name="raw" sheetId="1" r:id="rId1"/>
    <sheet name="lookup" sheetId="2" r:id="rId2"/>
    <sheet name="clean" sheetId="3" r:id="rId3"/>
    <sheet name="Summary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/>
  <c r="B6" i="4"/>
  <c r="H3" i="3"/>
  <c r="H4" i="3"/>
  <c r="H5" i="3"/>
  <c r="H6" i="3"/>
  <c r="H7" i="3"/>
  <c r="H8" i="3"/>
  <c r="H9" i="3"/>
  <c r="H10" i="3"/>
  <c r="H11" i="3"/>
  <c r="H12" i="3"/>
  <c r="H13" i="3"/>
  <c r="H2" i="3"/>
  <c r="G3" i="3"/>
  <c r="G4" i="3"/>
  <c r="G5" i="3"/>
  <c r="G6" i="3"/>
  <c r="G7" i="3"/>
  <c r="G8" i="3"/>
  <c r="G9" i="3"/>
  <c r="G10" i="3"/>
  <c r="G11" i="3"/>
  <c r="G12" i="3"/>
  <c r="G13" i="3"/>
  <c r="G2" i="3"/>
</calcChain>
</file>

<file path=xl/sharedStrings.xml><?xml version="1.0" encoding="utf-8"?>
<sst xmlns="http://schemas.openxmlformats.org/spreadsheetml/2006/main" count="125" uniqueCount="35">
  <si>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</si>
  <si>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</si>
  <si>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</si>
  <si>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</si>
  <si>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</si>
  <si>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</si>
  <si>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</si>
  <si>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</si>
  <si>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</si>
  <si>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</si>
  <si>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</si>
  <si>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</si>
  <si>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</si>
  <si>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</si>
  <si>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</si>
  <si>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</si>
  <si>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</si>
  <si>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</si>
  <si>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</si>
  <si>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</si>
  <si>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</si>
  <si>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</si>
  <si>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</si>
  <si>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</si>
  <si>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 xml:space="preserve">before row count </t>
  </si>
  <si>
    <t>after row count</t>
  </si>
  <si>
    <t>Remove duplicates</t>
  </si>
  <si>
    <t>above add new column</t>
  </si>
  <si>
    <t>breach_flag</t>
  </si>
  <si>
    <t>Row Labels</t>
  </si>
  <si>
    <t>Grand Total</t>
  </si>
  <si>
    <t>Average of resolution_hours</t>
  </si>
  <si>
    <t>Column Labels</t>
  </si>
  <si>
    <t>COUNTIFS</t>
  </si>
  <si>
    <t>(breach_flag = 1) by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</si>
</sst>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33333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9" fillId="0" borderId="1" xfId="0" applyFont="1" applyBorder="1"/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3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[Excel_analsis.xlsx]Summary!PivotTable1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resolution hours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Summary!$H$3:$H$4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Summary!$G$5:$G$7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Summary!$H$5:$H$7</c:f>
              <c:numCache>
                <c:formatCode>0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9-460F-A77A-C4EBEEBAE426}"/>
            </c:ext>
          </c:extLst>
        </c:ser>
        <c:ser>
          <c:idx val="1"/>
          <c:order val="1"/>
          <c:tx>
            <c:strRef>
              <c:f>Summary!$I$3:$I$4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Summary!$G$5:$G$7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Summary!$I$5:$I$7</c:f>
              <c:numCache>
                <c:formatCode>0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9-460F-A77A-C4EBEEBAE426}"/>
            </c:ext>
          </c:extLst>
        </c:ser>
        <c:ser>
          <c:idx val="2"/>
          <c:order val="2"/>
          <c:tx>
            <c:strRef>
              <c:f>Summary!$J$3:$J$4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Summary!$G$5:$G$7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Summary!$J$5:$J$7</c:f>
              <c:numCache>
                <c:formatCode>0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C9-460F-A77A-C4EBEEBAE4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04360623"/>
        <c:axId val="647619951"/>
      </c:barChart>
      <c:catAx>
        <c:axId val="70436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9951"/>
        <c:crosses val="autoZero"/>
        <c:auto val="1"/>
        <c:lblAlgn val="ctr"/>
        <c:lblOffset val="100"/>
        <c:noMultiLvlLbl val="0"/>
      </c:catAx>
      <c:valAx>
        <c:axId val="64761995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70436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8</xdr:row>
      <xdr:rowOff>30480</xdr:rowOff>
    </xdr:from>
    <xdr:to>
      <xdr:col>11</xdr:col>
      <xdr:colOff>220980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C4569-3481-A1A9-1686-023AEA352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el Happy" refreshedDate="46291.438451388887" createdVersion="8" refreshedVersion="8" minRefreshableVersion="3" recordCount="12" xr:uid="{CC6DFDD2-D710-47AA-A480-0F20BE67D8F9}">
  <cacheSource type="worksheet">
    <worksheetSource ref="A1:H13" sheet="clean"/>
  </cacheSource>
  <cacheFields count="8">
    <cacheField name="ticket_id" numFmtId="0">
      <sharedItems containsSemiMixedTypes="0" containsString="0" containsNumber="1" containsInteger="1" minValue="1" maxValue="12"/>
    </cacheField>
    <cacheField name="month" numFmtId="49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1">
      <sharedItems containsSemiMixedTypes="0" containsString="0" containsNumber="1" containsInteger="1" minValue="8" maxValue="40"/>
    </cacheField>
    <cacheField name="satisfaction" numFmtId="1">
      <sharedItems containsSemiMixedTypes="0" containsString="0" containsNumber="1" containsInteger="1" minValue="2" maxValue="5"/>
    </cacheField>
    <cacheField name="department" numFmtId="0">
      <sharedItems count="2">
        <s v="Service"/>
        <s v="Technical"/>
      </sharedItems>
    </cacheField>
    <cacheField name="breac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n v="4"/>
    <x v="0"/>
    <n v="0"/>
  </r>
  <r>
    <n v="2"/>
    <x v="0"/>
    <s v="T2"/>
    <s v="Chat"/>
    <n v="28"/>
    <n v="3"/>
    <x v="0"/>
    <n v="1"/>
  </r>
  <r>
    <n v="3"/>
    <x v="0"/>
    <s v="T3"/>
    <s v="Phone"/>
    <n v="36"/>
    <n v="2"/>
    <x v="1"/>
    <n v="1"/>
  </r>
  <r>
    <n v="4"/>
    <x v="0"/>
    <s v="T4"/>
    <s v="Email"/>
    <n v="20"/>
    <n v="4"/>
    <x v="1"/>
    <n v="0"/>
  </r>
  <r>
    <n v="5"/>
    <x v="1"/>
    <s v="T1"/>
    <s v="Chat"/>
    <n v="8"/>
    <n v="5"/>
    <x v="0"/>
    <n v="0"/>
  </r>
  <r>
    <n v="6"/>
    <x v="1"/>
    <s v="T2"/>
    <s v="Phone"/>
    <n v="30"/>
    <n v="3"/>
    <x v="0"/>
    <n v="1"/>
  </r>
  <r>
    <n v="7"/>
    <x v="1"/>
    <s v="T3"/>
    <s v="Email"/>
    <n v="18"/>
    <n v="4"/>
    <x v="1"/>
    <n v="0"/>
  </r>
  <r>
    <n v="8"/>
    <x v="1"/>
    <s v="T4"/>
    <s v="Chat"/>
    <n v="40"/>
    <n v="2"/>
    <x v="1"/>
    <n v="1"/>
  </r>
  <r>
    <n v="9"/>
    <x v="2"/>
    <s v="T1"/>
    <s v="Phone"/>
    <n v="16"/>
    <n v="4"/>
    <x v="0"/>
    <n v="0"/>
  </r>
  <r>
    <n v="10"/>
    <x v="2"/>
    <s v="T2"/>
    <s v="Email"/>
    <n v="22"/>
    <n v="4"/>
    <x v="0"/>
    <n v="0"/>
  </r>
  <r>
    <n v="11"/>
    <x v="2"/>
    <s v="T3"/>
    <s v="Chat"/>
    <n v="32"/>
    <n v="3"/>
    <x v="1"/>
    <n v="1"/>
  </r>
  <r>
    <n v="12"/>
    <x v="2"/>
    <s v="T4"/>
    <s v="Phone"/>
    <n v="24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CACFC-C6D8-4017-975D-922E3D6BC0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G3:K7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numFmtId="1" showAll="0"/>
    <pivotField numFmtId="1"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4" subtotal="average" baseField="0" baseItem="0" numFmtId="1"/>
  </dataFields>
  <formats count="30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6" type="button" dataOnly="0" labelOnly="1" outline="0" axis="axisRow" fieldPosition="0"/>
    </format>
    <format dxfId="23">
      <pivotArea dataOnly="0" labelOnly="1" fieldPosition="0">
        <references count="1">
          <reference field="6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6" type="button" dataOnly="0" labelOnly="1" outline="0" axis="axisRow" fieldPosition="0"/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C445-E0DD-4443-9273-3FB7CBE44C6E}">
  <dimension ref="A1:F14"/>
  <sheetViews>
    <sheetView workbookViewId="0">
      <selection activeCell="B13" sqref="A1:F14"/>
    </sheetView>
  </sheetViews>
  <sheetFormatPr defaultRowHeight="14.4" x14ac:dyDescent="0.3"/>
  <cols>
    <col min="1" max="1" width="1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1</v>
      </c>
      <c r="B2" t="s">
        <v>6</v>
      </c>
      <c r="C2" t="s">
        <v>7</v>
      </c>
      <c r="D2" t="s">
        <v>8</v>
      </c>
      <c r="E2">
        <v>12</v>
      </c>
      <c r="F2">
        <v>4</v>
      </c>
    </row>
    <row r="3" spans="1:6" x14ac:dyDescent="0.3">
      <c r="A3" s="1">
        <v>2</v>
      </c>
      <c r="B3" t="s">
        <v>6</v>
      </c>
      <c r="C3" t="s">
        <v>9</v>
      </c>
      <c r="D3" t="s">
        <v>10</v>
      </c>
      <c r="E3">
        <v>28</v>
      </c>
      <c r="F3">
        <v>3</v>
      </c>
    </row>
    <row r="4" spans="1:6" x14ac:dyDescent="0.3">
      <c r="A4" s="1">
        <v>3</v>
      </c>
      <c r="B4" t="s">
        <v>6</v>
      </c>
      <c r="C4" t="s">
        <v>11</v>
      </c>
      <c r="D4" t="s">
        <v>12</v>
      </c>
      <c r="E4">
        <v>36</v>
      </c>
      <c r="F4">
        <v>2</v>
      </c>
    </row>
    <row r="5" spans="1:6" x14ac:dyDescent="0.3">
      <c r="A5" s="1">
        <v>4</v>
      </c>
      <c r="B5" t="s">
        <v>6</v>
      </c>
      <c r="C5" t="s">
        <v>13</v>
      </c>
      <c r="D5" t="s">
        <v>8</v>
      </c>
      <c r="E5">
        <v>20</v>
      </c>
      <c r="F5">
        <v>4</v>
      </c>
    </row>
    <row r="6" spans="1:6" x14ac:dyDescent="0.3">
      <c r="A6" s="1">
        <v>5</v>
      </c>
      <c r="B6" t="s">
        <v>14</v>
      </c>
      <c r="C6" t="s">
        <v>7</v>
      </c>
      <c r="D6" t="s">
        <v>10</v>
      </c>
      <c r="E6">
        <v>8</v>
      </c>
      <c r="F6">
        <v>5</v>
      </c>
    </row>
    <row r="7" spans="1:6" x14ac:dyDescent="0.3">
      <c r="A7" s="1">
        <v>6</v>
      </c>
      <c r="B7" t="s">
        <v>14</v>
      </c>
      <c r="C7" t="s">
        <v>9</v>
      </c>
      <c r="D7" t="s">
        <v>12</v>
      </c>
      <c r="E7">
        <v>30</v>
      </c>
      <c r="F7">
        <v>3</v>
      </c>
    </row>
    <row r="8" spans="1:6" x14ac:dyDescent="0.3">
      <c r="A8" s="1">
        <v>7</v>
      </c>
      <c r="B8" t="s">
        <v>14</v>
      </c>
      <c r="C8" t="s">
        <v>11</v>
      </c>
      <c r="D8" t="s">
        <v>8</v>
      </c>
      <c r="E8">
        <v>18</v>
      </c>
      <c r="F8">
        <v>4</v>
      </c>
    </row>
    <row r="9" spans="1:6" x14ac:dyDescent="0.3">
      <c r="A9" s="1">
        <v>8</v>
      </c>
      <c r="B9" t="s">
        <v>14</v>
      </c>
      <c r="C9" t="s">
        <v>13</v>
      </c>
      <c r="D9" t="s">
        <v>10</v>
      </c>
      <c r="E9">
        <v>40</v>
      </c>
      <c r="F9">
        <v>2</v>
      </c>
    </row>
    <row r="10" spans="1:6" x14ac:dyDescent="0.3">
      <c r="A10" s="1">
        <v>9</v>
      </c>
      <c r="B10" t="s">
        <v>15</v>
      </c>
      <c r="C10" t="s">
        <v>7</v>
      </c>
      <c r="D10" t="s">
        <v>12</v>
      </c>
      <c r="E10">
        <v>16</v>
      </c>
      <c r="F10">
        <v>4</v>
      </c>
    </row>
    <row r="11" spans="1:6" x14ac:dyDescent="0.3">
      <c r="A11" s="1">
        <v>10</v>
      </c>
      <c r="B11" t="s">
        <v>15</v>
      </c>
      <c r="C11" t="s">
        <v>9</v>
      </c>
      <c r="D11" t="s">
        <v>8</v>
      </c>
      <c r="E11">
        <v>22</v>
      </c>
      <c r="F11">
        <v>4</v>
      </c>
    </row>
    <row r="12" spans="1:6" x14ac:dyDescent="0.3">
      <c r="A12" s="1">
        <v>11</v>
      </c>
      <c r="B12" t="s">
        <v>15</v>
      </c>
      <c r="C12" t="s">
        <v>11</v>
      </c>
      <c r="D12" t="s">
        <v>10</v>
      </c>
      <c r="E12">
        <v>32</v>
      </c>
      <c r="F12">
        <v>3</v>
      </c>
    </row>
    <row r="13" spans="1:6" x14ac:dyDescent="0.3">
      <c r="A13" s="1">
        <v>12</v>
      </c>
      <c r="B13" t="s">
        <v>15</v>
      </c>
      <c r="C13" t="s">
        <v>13</v>
      </c>
      <c r="D13" t="s">
        <v>12</v>
      </c>
      <c r="E13">
        <v>24</v>
      </c>
      <c r="F13">
        <v>5</v>
      </c>
    </row>
    <row r="14" spans="1:6" x14ac:dyDescent="0.3">
      <c r="A14" s="1">
        <v>12</v>
      </c>
      <c r="B14" t="s">
        <v>15</v>
      </c>
      <c r="C14" t="s">
        <v>13</v>
      </c>
      <c r="D14" t="s">
        <v>12</v>
      </c>
      <c r="E14">
        <v>24</v>
      </c>
      <c r="F1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C15F-59F8-4979-8D84-C7881D15E63A}">
  <dimension ref="A1:C5"/>
  <sheetViews>
    <sheetView workbookViewId="0">
      <selection activeCell="D18" sqref="D18"/>
    </sheetView>
  </sheetViews>
  <sheetFormatPr defaultRowHeight="14.4" x14ac:dyDescent="0.3"/>
  <cols>
    <col min="2" max="2" width="11.5546875" bestFit="1" customWidth="1"/>
    <col min="3" max="3" width="10.33203125" bestFit="1" customWidth="1"/>
  </cols>
  <sheetData>
    <row r="1" spans="1:3" x14ac:dyDescent="0.3">
      <c r="A1" s="1" t="s">
        <v>2</v>
      </c>
      <c r="B1" t="s">
        <v>16</v>
      </c>
      <c r="C1" t="s">
        <v>17</v>
      </c>
    </row>
    <row r="2" spans="1:3" x14ac:dyDescent="0.3">
      <c r="A2" s="1" t="s">
        <v>7</v>
      </c>
      <c r="B2" t="s">
        <v>18</v>
      </c>
      <c r="C2" t="s">
        <v>19</v>
      </c>
    </row>
    <row r="3" spans="1:3" x14ac:dyDescent="0.3">
      <c r="A3" s="1" t="s">
        <v>9</v>
      </c>
      <c r="B3" t="s">
        <v>20</v>
      </c>
      <c r="C3" t="s">
        <v>19</v>
      </c>
    </row>
    <row r="4" spans="1:3" x14ac:dyDescent="0.3">
      <c r="A4" s="1" t="s">
        <v>11</v>
      </c>
      <c r="B4" t="s">
        <v>21</v>
      </c>
      <c r="C4" t="s">
        <v>22</v>
      </c>
    </row>
    <row r="5" spans="1:3" x14ac:dyDescent="0.3">
      <c r="A5" s="1" t="s">
        <v>13</v>
      </c>
      <c r="B5" t="s">
        <v>23</v>
      </c>
      <c r="C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9722-E545-41BD-BEED-C624A967F1F2}">
  <dimension ref="A1:H18"/>
  <sheetViews>
    <sheetView tabSelected="1" workbookViewId="0">
      <selection activeCell="D1" sqref="D1"/>
    </sheetView>
  </sheetViews>
  <sheetFormatPr defaultRowHeight="14.4" x14ac:dyDescent="0.3"/>
  <cols>
    <col min="1" max="1" width="8.88671875" style="2" bestFit="1" customWidth="1"/>
    <col min="2" max="2" width="10.44140625" style="2" customWidth="1"/>
    <col min="3" max="3" width="8.88671875" style="2"/>
    <col min="4" max="4" width="11.21875" style="2" customWidth="1"/>
    <col min="5" max="5" width="16.6640625" style="2" customWidth="1"/>
    <col min="6" max="6" width="13" style="2" customWidth="1"/>
    <col min="7" max="7" width="23" style="2" customWidth="1"/>
    <col min="8" max="8" width="11.77734375" style="2" bestFit="1" customWidth="1"/>
    <col min="9" max="16384" width="8.88671875" style="2"/>
  </cols>
  <sheetData>
    <row r="1" spans="1:8" s="6" customFormat="1" ht="15.6" x14ac:dyDescent="0.3">
      <c r="A1" s="13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7" t="s">
        <v>17</v>
      </c>
      <c r="H1" s="7" t="s">
        <v>28</v>
      </c>
    </row>
    <row r="2" spans="1:8" x14ac:dyDescent="0.3">
      <c r="A2" s="14">
        <v>1</v>
      </c>
      <c r="B2" s="10" t="s">
        <v>6</v>
      </c>
      <c r="C2" s="11" t="s">
        <v>7</v>
      </c>
      <c r="D2" s="11" t="s">
        <v>8</v>
      </c>
      <c r="E2" s="12">
        <v>12</v>
      </c>
      <c r="F2" s="12">
        <v>4</v>
      </c>
      <c r="G2" s="11" t="str">
        <f>_xlfn.XLOOKUP(clean!C2,lookup!$A$2:$A$5,lookup!$C$2:$C$5)</f>
        <v>Service</v>
      </c>
      <c r="H2" s="11">
        <f>IF(E2&gt;24,1,0)</f>
        <v>0</v>
      </c>
    </row>
    <row r="3" spans="1:8" x14ac:dyDescent="0.3">
      <c r="A3" s="14">
        <v>2</v>
      </c>
      <c r="B3" s="10" t="s">
        <v>6</v>
      </c>
      <c r="C3" s="11" t="s">
        <v>9</v>
      </c>
      <c r="D3" s="11" t="s">
        <v>10</v>
      </c>
      <c r="E3" s="12">
        <v>28</v>
      </c>
      <c r="F3" s="12">
        <v>3</v>
      </c>
      <c r="G3" s="11" t="str">
        <f>_xlfn.XLOOKUP(clean!C3,lookup!$A$2:$A$5,lookup!$C$2:$C$5)</f>
        <v>Service</v>
      </c>
      <c r="H3" s="11">
        <f t="shared" ref="H3:H13" si="0">IF(E3&gt;24,1,0)</f>
        <v>1</v>
      </c>
    </row>
    <row r="4" spans="1:8" x14ac:dyDescent="0.3">
      <c r="A4" s="14">
        <v>3</v>
      </c>
      <c r="B4" s="10" t="s">
        <v>6</v>
      </c>
      <c r="C4" s="11" t="s">
        <v>11</v>
      </c>
      <c r="D4" s="11" t="s">
        <v>12</v>
      </c>
      <c r="E4" s="12">
        <v>36</v>
      </c>
      <c r="F4" s="12">
        <v>2</v>
      </c>
      <c r="G4" s="11" t="str">
        <f>_xlfn.XLOOKUP(clean!C4,lookup!$A$2:$A$5,lookup!$C$2:$C$5)</f>
        <v>Technical</v>
      </c>
      <c r="H4" s="11">
        <f t="shared" si="0"/>
        <v>1</v>
      </c>
    </row>
    <row r="5" spans="1:8" x14ac:dyDescent="0.3">
      <c r="A5" s="14">
        <v>4</v>
      </c>
      <c r="B5" s="10" t="s">
        <v>6</v>
      </c>
      <c r="C5" s="11" t="s">
        <v>13</v>
      </c>
      <c r="D5" s="11" t="s">
        <v>8</v>
      </c>
      <c r="E5" s="12">
        <v>20</v>
      </c>
      <c r="F5" s="12">
        <v>4</v>
      </c>
      <c r="G5" s="11" t="str">
        <f>_xlfn.XLOOKUP(clean!C5,lookup!$A$2:$A$5,lookup!$C$2:$C$5)</f>
        <v>Technical</v>
      </c>
      <c r="H5" s="11">
        <f t="shared" si="0"/>
        <v>0</v>
      </c>
    </row>
    <row r="6" spans="1:8" x14ac:dyDescent="0.3">
      <c r="A6" s="14">
        <v>5</v>
      </c>
      <c r="B6" s="10" t="s">
        <v>14</v>
      </c>
      <c r="C6" s="11" t="s">
        <v>7</v>
      </c>
      <c r="D6" s="11" t="s">
        <v>10</v>
      </c>
      <c r="E6" s="12">
        <v>8</v>
      </c>
      <c r="F6" s="12">
        <v>5</v>
      </c>
      <c r="G6" s="11" t="str">
        <f>_xlfn.XLOOKUP(clean!C6,lookup!$A$2:$A$5,lookup!$C$2:$C$5)</f>
        <v>Service</v>
      </c>
      <c r="H6" s="11">
        <f t="shared" si="0"/>
        <v>0</v>
      </c>
    </row>
    <row r="7" spans="1:8" x14ac:dyDescent="0.3">
      <c r="A7" s="14">
        <v>6</v>
      </c>
      <c r="B7" s="10" t="s">
        <v>14</v>
      </c>
      <c r="C7" s="11" t="s">
        <v>9</v>
      </c>
      <c r="D7" s="11" t="s">
        <v>12</v>
      </c>
      <c r="E7" s="12">
        <v>30</v>
      </c>
      <c r="F7" s="12">
        <v>3</v>
      </c>
      <c r="G7" s="11" t="str">
        <f>_xlfn.XLOOKUP(clean!C7,lookup!$A$2:$A$5,lookup!$C$2:$C$5)</f>
        <v>Service</v>
      </c>
      <c r="H7" s="11">
        <f t="shared" si="0"/>
        <v>1</v>
      </c>
    </row>
    <row r="8" spans="1:8" x14ac:dyDescent="0.3">
      <c r="A8" s="14">
        <v>7</v>
      </c>
      <c r="B8" s="10" t="s">
        <v>14</v>
      </c>
      <c r="C8" s="11" t="s">
        <v>11</v>
      </c>
      <c r="D8" s="11" t="s">
        <v>8</v>
      </c>
      <c r="E8" s="12">
        <v>18</v>
      </c>
      <c r="F8" s="12">
        <v>4</v>
      </c>
      <c r="G8" s="11" t="str">
        <f>_xlfn.XLOOKUP(clean!C8,lookup!$A$2:$A$5,lookup!$C$2:$C$5)</f>
        <v>Technical</v>
      </c>
      <c r="H8" s="11">
        <f t="shared" si="0"/>
        <v>0</v>
      </c>
    </row>
    <row r="9" spans="1:8" x14ac:dyDescent="0.3">
      <c r="A9" s="14">
        <v>8</v>
      </c>
      <c r="B9" s="10" t="s">
        <v>14</v>
      </c>
      <c r="C9" s="11" t="s">
        <v>13</v>
      </c>
      <c r="D9" s="11" t="s">
        <v>10</v>
      </c>
      <c r="E9" s="12">
        <v>40</v>
      </c>
      <c r="F9" s="12">
        <v>2</v>
      </c>
      <c r="G9" s="11" t="str">
        <f>_xlfn.XLOOKUP(clean!C9,lookup!$A$2:$A$5,lookup!$C$2:$C$5)</f>
        <v>Technical</v>
      </c>
      <c r="H9" s="11">
        <f t="shared" si="0"/>
        <v>1</v>
      </c>
    </row>
    <row r="10" spans="1:8" x14ac:dyDescent="0.3">
      <c r="A10" s="14">
        <v>9</v>
      </c>
      <c r="B10" s="10" t="s">
        <v>15</v>
      </c>
      <c r="C10" s="11" t="s">
        <v>7</v>
      </c>
      <c r="D10" s="11" t="s">
        <v>12</v>
      </c>
      <c r="E10" s="12">
        <v>16</v>
      </c>
      <c r="F10" s="12">
        <v>4</v>
      </c>
      <c r="G10" s="11" t="str">
        <f>_xlfn.XLOOKUP(clean!C10,lookup!$A$2:$A$5,lookup!$C$2:$C$5)</f>
        <v>Service</v>
      </c>
      <c r="H10" s="11">
        <f t="shared" si="0"/>
        <v>0</v>
      </c>
    </row>
    <row r="11" spans="1:8" x14ac:dyDescent="0.3">
      <c r="A11" s="14">
        <v>10</v>
      </c>
      <c r="B11" s="10" t="s">
        <v>15</v>
      </c>
      <c r="C11" s="11" t="s">
        <v>9</v>
      </c>
      <c r="D11" s="11" t="s">
        <v>8</v>
      </c>
      <c r="E11" s="12">
        <v>22</v>
      </c>
      <c r="F11" s="12">
        <v>4</v>
      </c>
      <c r="G11" s="11" t="str">
        <f>_xlfn.XLOOKUP(clean!C11,lookup!$A$2:$A$5,lookup!$C$2:$C$5)</f>
        <v>Service</v>
      </c>
      <c r="H11" s="11">
        <f t="shared" si="0"/>
        <v>0</v>
      </c>
    </row>
    <row r="12" spans="1:8" x14ac:dyDescent="0.3">
      <c r="A12" s="14">
        <v>11</v>
      </c>
      <c r="B12" s="10" t="s">
        <v>15</v>
      </c>
      <c r="C12" s="11" t="s">
        <v>11</v>
      </c>
      <c r="D12" s="11" t="s">
        <v>10</v>
      </c>
      <c r="E12" s="12">
        <v>32</v>
      </c>
      <c r="F12" s="12">
        <v>3</v>
      </c>
      <c r="G12" s="11" t="str">
        <f>_xlfn.XLOOKUP(clean!C12,lookup!$A$2:$A$5,lookup!$C$2:$C$5)</f>
        <v>Technical</v>
      </c>
      <c r="H12" s="11">
        <f t="shared" si="0"/>
        <v>1</v>
      </c>
    </row>
    <row r="13" spans="1:8" x14ac:dyDescent="0.3">
      <c r="A13" s="14">
        <v>12</v>
      </c>
      <c r="B13" s="10" t="s">
        <v>15</v>
      </c>
      <c r="C13" s="11" t="s">
        <v>13</v>
      </c>
      <c r="D13" s="11" t="s">
        <v>12</v>
      </c>
      <c r="E13" s="12">
        <v>24</v>
      </c>
      <c r="F13" s="12">
        <v>5</v>
      </c>
      <c r="G13" s="11" t="str">
        <f>_xlfn.XLOOKUP(clean!C13,lookup!$A$2:$A$5,lookup!$C$2:$C$5)</f>
        <v>Technical</v>
      </c>
      <c r="H13" s="11">
        <f t="shared" si="0"/>
        <v>0</v>
      </c>
    </row>
    <row r="16" spans="1:8" ht="15.6" x14ac:dyDescent="0.3">
      <c r="A16" s="16" t="s">
        <v>26</v>
      </c>
      <c r="B16" s="16"/>
      <c r="C16" s="16"/>
      <c r="D16" s="16"/>
      <c r="G16" s="17" t="s">
        <v>27</v>
      </c>
      <c r="H16" s="17"/>
    </row>
    <row r="17" spans="1:4" ht="15.6" x14ac:dyDescent="0.3">
      <c r="A17" s="5"/>
      <c r="B17" s="4" t="s">
        <v>24</v>
      </c>
      <c r="C17" s="4"/>
      <c r="D17" s="3">
        <v>13</v>
      </c>
    </row>
    <row r="18" spans="1:4" ht="15.6" x14ac:dyDescent="0.3">
      <c r="A18" s="15" t="s">
        <v>25</v>
      </c>
      <c r="B18" s="15"/>
      <c r="C18" s="15"/>
      <c r="D18" s="11">
        <v>12</v>
      </c>
    </row>
  </sheetData>
  <mergeCells count="3">
    <mergeCell ref="A18:C18"/>
    <mergeCell ref="A16:D16"/>
    <mergeCell ref="G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BC1D-587E-44E3-90E6-DD71C9BA1742}">
  <dimension ref="A1:K8"/>
  <sheetViews>
    <sheetView workbookViewId="0">
      <selection activeCell="C6" sqref="C6"/>
    </sheetView>
  </sheetViews>
  <sheetFormatPr defaultRowHeight="14.4" x14ac:dyDescent="0.3"/>
  <cols>
    <col min="1" max="1" width="8.88671875" style="18"/>
    <col min="2" max="2" width="11.44140625" style="18" bestFit="1" customWidth="1"/>
    <col min="3" max="6" width="8.88671875" style="18"/>
    <col min="7" max="7" width="23.77734375" style="18" bestFit="1" customWidth="1"/>
    <col min="8" max="8" width="15.5546875" style="18" bestFit="1" customWidth="1"/>
    <col min="9" max="9" width="7.44140625" style="18" customWidth="1"/>
    <col min="10" max="10" width="6.33203125" style="18" customWidth="1"/>
    <col min="11" max="11" width="11.5546875" style="18" customWidth="1"/>
    <col min="12" max="16384" width="8.88671875" style="18"/>
  </cols>
  <sheetData>
    <row r="1" spans="1:11" ht="18" x14ac:dyDescent="0.3">
      <c r="A1" s="23" t="s">
        <v>33</v>
      </c>
      <c r="B1" s="23"/>
    </row>
    <row r="2" spans="1:11" ht="28.2" customHeight="1" x14ac:dyDescent="0.3">
      <c r="A2" s="24" t="s">
        <v>34</v>
      </c>
      <c r="B2" s="24"/>
    </row>
    <row r="3" spans="1:11" x14ac:dyDescent="0.3">
      <c r="G3" s="19" t="s">
        <v>31</v>
      </c>
      <c r="H3" s="19" t="s">
        <v>32</v>
      </c>
      <c r="I3" s="20"/>
      <c r="J3" s="20"/>
      <c r="K3" s="20"/>
    </row>
    <row r="4" spans="1:11" x14ac:dyDescent="0.3">
      <c r="G4" s="19" t="s">
        <v>29</v>
      </c>
      <c r="H4" s="20" t="s">
        <v>6</v>
      </c>
      <c r="I4" s="20" t="s">
        <v>14</v>
      </c>
      <c r="J4" s="20" t="s">
        <v>15</v>
      </c>
      <c r="K4" s="20" t="s">
        <v>30</v>
      </c>
    </row>
    <row r="5" spans="1:11" ht="15.6" x14ac:dyDescent="0.3">
      <c r="A5" s="7" t="s">
        <v>3</v>
      </c>
      <c r="B5" s="22" t="s">
        <v>28</v>
      </c>
      <c r="G5" s="20" t="s">
        <v>19</v>
      </c>
      <c r="H5" s="21">
        <v>20</v>
      </c>
      <c r="I5" s="21">
        <v>19</v>
      </c>
      <c r="J5" s="21">
        <v>19</v>
      </c>
      <c r="K5" s="21">
        <v>19.333333333333332</v>
      </c>
    </row>
    <row r="6" spans="1:11" x14ac:dyDescent="0.3">
      <c r="A6" s="20" t="s">
        <v>8</v>
      </c>
      <c r="B6" s="20">
        <f>COUNTIFS(clean!$D$2:$D$13,A6,clean!$H$2:$H$13,1)</f>
        <v>0</v>
      </c>
      <c r="G6" s="20" t="s">
        <v>22</v>
      </c>
      <c r="H6" s="21">
        <v>28</v>
      </c>
      <c r="I6" s="21">
        <v>29</v>
      </c>
      <c r="J6" s="21">
        <v>28</v>
      </c>
      <c r="K6" s="21">
        <v>28.333333333333332</v>
      </c>
    </row>
    <row r="7" spans="1:11" x14ac:dyDescent="0.3">
      <c r="A7" s="20" t="s">
        <v>10</v>
      </c>
      <c r="B7" s="20">
        <f>COUNTIFS(clean!$D$2:$D$13,A7,clean!$H$2:$H$13,1)</f>
        <v>3</v>
      </c>
      <c r="G7" s="20" t="s">
        <v>30</v>
      </c>
      <c r="H7" s="21">
        <v>24</v>
      </c>
      <c r="I7" s="21">
        <v>24</v>
      </c>
      <c r="J7" s="21">
        <v>23.5</v>
      </c>
      <c r="K7" s="21">
        <v>23.833333333333332</v>
      </c>
    </row>
    <row r="8" spans="1:11" x14ac:dyDescent="0.3">
      <c r="A8" s="20" t="s">
        <v>12</v>
      </c>
      <c r="B8" s="20">
        <f>COUNTIFS(clean!$D$2:$D$13,A8,clean!$H$2:$H$13,1)</f>
        <v>2</v>
      </c>
    </row>
  </sheetData>
  <mergeCells count="2">
    <mergeCell ref="A1:B1"/>
    <mergeCell ref="A2:B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ptlhappy35@gmail.com</dc:creator>
  <cp:lastModifiedBy>ptlhappy35@gmail.com</cp:lastModifiedBy>
  <dcterms:created xsi:type="dcterms:W3CDTF">2026-09-26T04:37:18Z</dcterms:created>
  <dcterms:modified xsi:type="dcterms:W3CDTF">2026-09-26T07:23:05Z</dcterms:modified>
</cp:coreProperties>
</file>